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on pie" sheetId="1" r:id="rId5"/>
  </sheets>
  <definedNames>
    <definedName hidden="1" localSheetId="0" name="_xlnm._FilterDatabase">'lemon pie'!$A$1:$G$11</definedName>
  </definedNames>
  <calcPr/>
</workbook>
</file>

<file path=xl/sharedStrings.xml><?xml version="1.0" encoding="utf-8"?>
<sst xmlns="http://schemas.openxmlformats.org/spreadsheetml/2006/main" count="35" uniqueCount="30">
  <si>
    <t>RECETA ESTANDAR LEMON PIE</t>
  </si>
  <si>
    <t>INGREDIENTES</t>
  </si>
  <si>
    <t>UNIDAD MEDIDA</t>
  </si>
  <si>
    <t>PESO NETO</t>
  </si>
  <si>
    <t>CORRECCION</t>
  </si>
  <si>
    <t>PESO BRUTO</t>
  </si>
  <si>
    <t>PRECIO</t>
  </si>
  <si>
    <t>COSTO</t>
  </si>
  <si>
    <t>HARINA</t>
  </si>
  <si>
    <t>kg</t>
  </si>
  <si>
    <t>MANTECA</t>
  </si>
  <si>
    <t>0,200</t>
  </si>
  <si>
    <t>HUEVOS FRESCOS</t>
  </si>
  <si>
    <t>5</t>
  </si>
  <si>
    <t xml:space="preserve">AZUCAR </t>
  </si>
  <si>
    <t>0,350</t>
  </si>
  <si>
    <t>JUGO DE LIMON</t>
  </si>
  <si>
    <t>0,150</t>
  </si>
  <si>
    <t>RALLADURA DE LIMON</t>
  </si>
  <si>
    <t>0,010</t>
  </si>
  <si>
    <t>ALMIDON DE MAIZ</t>
  </si>
  <si>
    <t>0,030</t>
  </si>
  <si>
    <t>PB = PN x CORRECCION</t>
  </si>
  <si>
    <t>COSTO = PB x PRECIO</t>
  </si>
  <si>
    <t xml:space="preserve">C.T.M.P </t>
  </si>
  <si>
    <t>C.T.P</t>
  </si>
  <si>
    <t>IMPREVISTO 10%</t>
  </si>
  <si>
    <t>GASTOS 30%</t>
  </si>
  <si>
    <t>IVA 21%</t>
  </si>
  <si>
    <t>GANANCIA 35%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</si>
</sst>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2" fontId="3" numFmtId="0" xfId="0" applyAlignment="1" applyFill="1" applyFont="1">
      <alignment readingOrder="0" shrinkToFit="0" wrapText="1"/>
    </xf>
    <xf borderId="0" fillId="2" fontId="3" numFmtId="0" xfId="0" applyFill="1" applyFont="1"/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8.0"/>
    <col customWidth="1" min="9" max="9" width="18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>
        <v>0.25</v>
      </c>
      <c r="D3" s="4">
        <v>1.0</v>
      </c>
      <c r="E3" s="5">
        <f t="shared" ref="E3:E8" si="1">C3*D3</f>
        <v>0.25</v>
      </c>
      <c r="F3" s="6">
        <v>1200.0</v>
      </c>
      <c r="G3" s="5">
        <f t="shared" ref="G3:G8" si="2">E3*F3</f>
        <v>300</v>
      </c>
    </row>
    <row r="4">
      <c r="A4" s="3" t="s">
        <v>10</v>
      </c>
      <c r="B4" s="3" t="s">
        <v>9</v>
      </c>
      <c r="C4" s="7" t="s">
        <v>11</v>
      </c>
      <c r="D4" s="3">
        <v>1.0</v>
      </c>
      <c r="E4" s="5">
        <f t="shared" si="1"/>
        <v>0.2</v>
      </c>
      <c r="F4" s="6">
        <v>12000.0</v>
      </c>
      <c r="G4" s="5">
        <f t="shared" si="2"/>
        <v>2400</v>
      </c>
    </row>
    <row r="5">
      <c r="A5" s="3" t="s">
        <v>12</v>
      </c>
      <c r="B5" s="3">
        <v>1.0</v>
      </c>
      <c r="C5" s="7" t="s">
        <v>13</v>
      </c>
      <c r="D5" s="3">
        <v>1.0</v>
      </c>
      <c r="E5" s="5">
        <f t="shared" si="1"/>
        <v>5</v>
      </c>
      <c r="F5" s="6">
        <v>180.0</v>
      </c>
      <c r="G5" s="5">
        <f t="shared" si="2"/>
        <v>900</v>
      </c>
    </row>
    <row r="6">
      <c r="A6" s="3" t="s">
        <v>14</v>
      </c>
      <c r="B6" s="3" t="s">
        <v>9</v>
      </c>
      <c r="C6" s="7" t="s">
        <v>15</v>
      </c>
      <c r="D6" s="3">
        <v>1.0</v>
      </c>
      <c r="E6" s="5">
        <f t="shared" si="1"/>
        <v>0.35</v>
      </c>
      <c r="F6" s="6">
        <v>1500.0</v>
      </c>
      <c r="G6" s="5">
        <f t="shared" si="2"/>
        <v>525</v>
      </c>
    </row>
    <row r="7">
      <c r="A7" s="3" t="s">
        <v>16</v>
      </c>
      <c r="B7" s="3" t="s">
        <v>9</v>
      </c>
      <c r="C7" s="7" t="s">
        <v>17</v>
      </c>
      <c r="D7" s="3">
        <v>1.25</v>
      </c>
      <c r="E7" s="5">
        <f t="shared" si="1"/>
        <v>0.1875</v>
      </c>
      <c r="F7" s="3">
        <v>300.0</v>
      </c>
      <c r="G7" s="5">
        <f t="shared" si="2"/>
        <v>56.25</v>
      </c>
    </row>
    <row r="8">
      <c r="A8" s="3" t="s">
        <v>18</v>
      </c>
      <c r="B8" s="3" t="s">
        <v>9</v>
      </c>
      <c r="C8" s="7" t="s">
        <v>19</v>
      </c>
      <c r="D8" s="3">
        <v>1.2</v>
      </c>
      <c r="E8" s="5">
        <f t="shared" si="1"/>
        <v>0.012</v>
      </c>
      <c r="F8" s="6">
        <v>300.0</v>
      </c>
      <c r="G8" s="5">
        <f t="shared" si="2"/>
        <v>3.6</v>
      </c>
    </row>
    <row r="9">
      <c r="A9" s="3" t="s">
        <v>20</v>
      </c>
      <c r="B9" s="3" t="s">
        <v>9</v>
      </c>
      <c r="C9" s="7" t="s">
        <v>21</v>
      </c>
      <c r="D9" s="3">
        <v>1.0</v>
      </c>
      <c r="E9" s="3">
        <v>0.03</v>
      </c>
      <c r="F9" s="3">
        <v>1300.0</v>
      </c>
      <c r="G9" s="5">
        <f>C9*F9</f>
        <v>39</v>
      </c>
    </row>
    <row r="10">
      <c r="A10" s="3"/>
      <c r="B10" s="3"/>
      <c r="C10" s="7"/>
      <c r="D10" s="3"/>
      <c r="E10" s="3"/>
      <c r="F10" s="3"/>
      <c r="G10" s="5"/>
    </row>
    <row r="11">
      <c r="A11" s="3"/>
      <c r="B11" s="3"/>
      <c r="C11" s="7"/>
      <c r="D11" s="3"/>
      <c r="E11" s="3"/>
      <c r="F11" s="6"/>
      <c r="G11" s="5"/>
    </row>
    <row r="15">
      <c r="E15" s="8" t="s">
        <v>22</v>
      </c>
      <c r="F15" s="9"/>
      <c r="G15" s="8" t="s">
        <v>23</v>
      </c>
      <c r="I15" s="10" t="s">
        <v>24</v>
      </c>
      <c r="J15" s="11">
        <f>SUM(G3:G11)</f>
        <v>4223.85</v>
      </c>
    </row>
    <row r="16">
      <c r="I16" s="10" t="s">
        <v>25</v>
      </c>
      <c r="J16" s="12">
        <f>J15/8</f>
        <v>527.98125</v>
      </c>
    </row>
    <row r="17">
      <c r="I17" s="10" t="s">
        <v>26</v>
      </c>
      <c r="J17" s="12">
        <f>J16*1.1</f>
        <v>580.779375</v>
      </c>
    </row>
    <row r="18">
      <c r="I18" s="10" t="s">
        <v>27</v>
      </c>
      <c r="J18" s="12">
        <f>J17*1.3</f>
        <v>755.0131875</v>
      </c>
    </row>
    <row r="19">
      <c r="I19" s="10" t="s">
        <v>28</v>
      </c>
      <c r="J19" s="12">
        <f>J18*1.21</f>
        <v>913.5659569</v>
      </c>
    </row>
    <row r="20">
      <c r="I20" s="10" t="s">
        <v>29</v>
      </c>
      <c r="J20" s="11">
        <f>J19*1.35</f>
        <v>1233.314042</v>
      </c>
    </row>
  </sheetData>
  <autoFilter ref="$A$1:$G$11"/>
  <mergeCells count="1">
    <mergeCell ref="A1:G1"/>
  </mergeCells>
  <drawing r:id="rId1"/>
</worksheet>
</file>